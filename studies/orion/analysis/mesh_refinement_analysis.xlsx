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ntho\Documents\2025-09-07_URA_MPILAB\reentry\orion_sim\mesh\"/>
    </mc:Choice>
  </mc:AlternateContent>
  <xr:revisionPtr revIDLastSave="0" documentId="13_ncr:1_{713D03D8-4B57-40E0-A21F-E64CC3A00068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Mesh Refinement Study" sheetId="1" r:id="rId1"/>
    <sheet name="Mesh Properti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2" l="1"/>
  <c r="E10" i="2"/>
  <c r="F10" i="2"/>
  <c r="E9" i="2"/>
  <c r="F9" i="2"/>
  <c r="D9" i="2"/>
</calcChain>
</file>

<file path=xl/sharedStrings.xml><?xml version="1.0" encoding="utf-8"?>
<sst xmlns="http://schemas.openxmlformats.org/spreadsheetml/2006/main" count="18" uniqueCount="12">
  <si>
    <t>Mach 6</t>
  </si>
  <si>
    <t>Case</t>
  </si>
  <si>
    <t>Mesh Properties</t>
  </si>
  <si>
    <t>Course</t>
  </si>
  <si>
    <t>Medium</t>
  </si>
  <si>
    <t>Fine</t>
  </si>
  <si>
    <t>First Cell Spcing</t>
  </si>
  <si>
    <t>Surace Average Element Size [m]</t>
  </si>
  <si>
    <t>Refinement Zone Average Element Size [m]</t>
  </si>
  <si>
    <t>Farfield Average Element Size [m]</t>
  </si>
  <si>
    <t>Very Fine</t>
  </si>
  <si>
    <t>Super Fine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</si>
</sst>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Normal" xfId="0" builtinId="0"/>
  </cellStyles>
  <dxfs count="1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D45ECF-15AA-42B7-B600-B50AC853B22F}" name="Table1" displayName="Table1" ref="B2:F5" totalsRowShown="0" headerRowDxfId="8" dataDxfId="7">
  <autoFilter ref="B2:F5" xr:uid="{D7D45ECF-15AA-42B7-B600-B50AC853B22F}"/>
  <tableColumns count="5">
    <tableColumn id="1" xr3:uid="{1CAB0C21-7294-499D-B9BB-D824E9CACEEF}" name="Mesh Properties" dataDxfId="13"/>
    <tableColumn id="2" xr3:uid="{E995BB7D-9948-451D-91E0-72636BB0A889}" name="First Cell Spcing" dataDxfId="12"/>
    <tableColumn id="3" xr3:uid="{B75AA872-5550-4C45-9116-A0605D3F6933}" name="Surace Average Element Size [m]" dataDxfId="11"/>
    <tableColumn id="4" xr3:uid="{3D062CE1-B8C3-4D8F-B66A-2E5B07A7DDAF}" name="Refinement Zone Average Element Size [m]" dataDxfId="10"/>
    <tableColumn id="5" xr3:uid="{5B00BA76-EEA8-487C-8D33-436F4C3576A0}" name="Farfield Average Element Size [m]" dataDxfId="9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F67D5D-4B7E-4316-A90C-44A8F2E317D6}" name="Table13" displayName="Table13" ref="B7:F10" totalsRowShown="0" headerRowDxfId="6" dataDxfId="5">
  <autoFilter ref="B7:F10" xr:uid="{20F67D5D-4B7E-4316-A90C-44A8F2E317D6}"/>
  <tableColumns count="5">
    <tableColumn id="1" xr3:uid="{856E7EC2-2DFB-4AF4-94DC-DC74E0C22A70}" name="Mesh Properties" dataDxfId="4"/>
    <tableColumn id="2" xr3:uid="{9DF72423-2AA3-4E50-A9CD-2C597886D8CA}" name="First Cell Spcing" dataDxfId="3"/>
    <tableColumn id="3" xr3:uid="{7693B6FB-3EDB-420A-8899-1FAD6D306547}" name="Surace Average Element Size [m]" dataDxfId="2"/>
    <tableColumn id="4" xr3:uid="{6FD5ABC8-0CC3-4DC8-BCB7-21B8D1DB2D10}" name="Refinement Zone Average Element Size [m]" dataDxfId="1"/>
    <tableColumn id="5" xr3:uid="{F4BE76E0-4212-4E8F-9C69-4773D29CDCCA}" name="Farfield Average Element Size [m]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3"/>
  <sheetViews>
    <sheetView workbookViewId="0">
      <selection activeCell="K3" sqref="K3:N7"/>
    </sheetView>
  </sheetViews>
  <sheetFormatPr defaultRowHeight="14.5" x14ac:dyDescent="0.35"/>
  <cols>
    <col min="11" max="11" width="14.54296875" bestFit="1" customWidth="1"/>
    <col min="13" max="13" width="13.6328125" bestFit="1" customWidth="1"/>
    <col min="14" max="14" width="22.453125" bestFit="1" customWidth="1"/>
    <col min="15" max="15" width="14.36328125" bestFit="1" customWidth="1"/>
  </cols>
  <sheetData>
    <row r="2" spans="2:16" x14ac:dyDescent="0.35">
      <c r="B2" t="s">
        <v>1</v>
      </c>
      <c r="P2" s="1"/>
    </row>
    <row r="3" spans="2:16" x14ac:dyDescent="0.35">
      <c r="B3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F075E-E42B-4966-BDC6-1A3CE22490A6}">
  <dimension ref="B2:F10"/>
  <sheetViews>
    <sheetView tabSelected="1" workbookViewId="0">
      <selection activeCell="D9" sqref="D9"/>
    </sheetView>
  </sheetViews>
  <sheetFormatPr defaultRowHeight="14.5" x14ac:dyDescent="0.35"/>
  <cols>
    <col min="2" max="2" width="14.08984375" bestFit="1" customWidth="1"/>
    <col min="3" max="3" width="12.453125" bestFit="1" customWidth="1"/>
    <col min="4" max="4" width="18.1796875" bestFit="1" customWidth="1"/>
    <col min="5" max="5" width="23.26953125" bestFit="1" customWidth="1"/>
    <col min="6" max="6" width="18.90625" bestFit="1" customWidth="1"/>
  </cols>
  <sheetData>
    <row r="2" spans="2:6" ht="29" x14ac:dyDescent="0.35">
      <c r="B2" s="2" t="s">
        <v>2</v>
      </c>
      <c r="C2" s="2" t="s">
        <v>6</v>
      </c>
      <c r="D2" s="2" t="s">
        <v>7</v>
      </c>
      <c r="E2" s="2" t="s">
        <v>8</v>
      </c>
      <c r="F2" s="2" t="s">
        <v>9</v>
      </c>
    </row>
    <row r="3" spans="2:6" x14ac:dyDescent="0.35">
      <c r="B3" s="3" t="s">
        <v>3</v>
      </c>
      <c r="C3" s="4">
        <v>9.9999999999999995E-7</v>
      </c>
      <c r="D3" s="3">
        <v>2.2499999999999999E-2</v>
      </c>
      <c r="E3" s="3">
        <v>0.18</v>
      </c>
      <c r="F3" s="3">
        <v>11.25</v>
      </c>
    </row>
    <row r="4" spans="2:6" x14ac:dyDescent="0.35">
      <c r="B4" s="3" t="s">
        <v>4</v>
      </c>
      <c r="C4" s="4">
        <v>9.9999999999999995E-7</v>
      </c>
      <c r="D4" s="3">
        <v>1.4999999999999999E-2</v>
      </c>
      <c r="E4" s="3">
        <v>0.12</v>
      </c>
      <c r="F4" s="3">
        <v>7.5</v>
      </c>
    </row>
    <row r="5" spans="2:6" x14ac:dyDescent="0.35">
      <c r="B5" s="3" t="s">
        <v>5</v>
      </c>
      <c r="C5" s="4">
        <v>9.9999999999999995E-7</v>
      </c>
      <c r="D5" s="3">
        <v>0.01</v>
      </c>
      <c r="E5" s="3">
        <v>0.08</v>
      </c>
      <c r="F5" s="3">
        <v>5</v>
      </c>
    </row>
    <row r="7" spans="2:6" ht="29" x14ac:dyDescent="0.35">
      <c r="B7" s="2" t="s">
        <v>2</v>
      </c>
      <c r="C7" s="2" t="s">
        <v>6</v>
      </c>
      <c r="D7" s="2" t="s">
        <v>7</v>
      </c>
      <c r="E7" s="2" t="s">
        <v>8</v>
      </c>
      <c r="F7" s="2" t="s">
        <v>9</v>
      </c>
    </row>
    <row r="8" spans="2:6" x14ac:dyDescent="0.35">
      <c r="B8" s="3" t="s">
        <v>5</v>
      </c>
      <c r="C8" s="4">
        <v>9.9999999999999995E-7</v>
      </c>
      <c r="D8" s="3">
        <v>0.01</v>
      </c>
      <c r="E8" s="3">
        <v>0.08</v>
      </c>
      <c r="F8" s="3">
        <v>10</v>
      </c>
    </row>
    <row r="9" spans="2:6" x14ac:dyDescent="0.35">
      <c r="B9" s="3" t="s">
        <v>10</v>
      </c>
      <c r="C9" s="4">
        <v>9.9999999999999995E-7</v>
      </c>
      <c r="D9" s="3">
        <f>D8/1.25</f>
        <v>8.0000000000000002E-3</v>
      </c>
      <c r="E9" s="3">
        <f t="shared" ref="E9:F9" si="0">E8/1.25</f>
        <v>6.4000000000000001E-2</v>
      </c>
      <c r="F9" s="3">
        <f t="shared" si="0"/>
        <v>8</v>
      </c>
    </row>
    <row r="10" spans="2:6" x14ac:dyDescent="0.35">
      <c r="B10" s="3" t="s">
        <v>11</v>
      </c>
      <c r="C10" s="4">
        <v>9.9999999999999995E-7</v>
      </c>
      <c r="D10" s="3">
        <f>D9/1.25</f>
        <v>6.4000000000000003E-3</v>
      </c>
      <c r="E10" s="3">
        <f t="shared" ref="E10" si="1">E9/1.25</f>
        <v>5.1200000000000002E-2</v>
      </c>
      <c r="F10" s="3">
        <f t="shared" ref="F10" si="2">F9/1.25</f>
        <v>6.4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Mesh Refinement Study</vt:lpstr>
      <vt:lpstr>Mesh Properties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Qiu</dc:creator>
  <cp:lastModifiedBy>Anthony Qiu</cp:lastModifiedBy>
  <dcterms:created xsi:type="dcterms:W3CDTF">2015-06-05T18:17:20Z</dcterms:created>
  <dcterms:modified xsi:type="dcterms:W3CDTF">2026-03-07T23:07:59Z</dcterms:modified>
</cp:coreProperties>
</file>